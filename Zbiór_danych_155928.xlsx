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arte\Documents\Studia\Semestr VII\C#\Projekt\"/>
    </mc:Choice>
  </mc:AlternateContent>
  <xr:revisionPtr revIDLastSave="0" documentId="13_ncr:1_{62E26073-E079-477A-9ABE-6B03C8E6759F}" xr6:coauthVersionLast="47" xr6:coauthVersionMax="47" xr10:uidLastSave="{00000000-0000-0000-0000-000000000000}"/>
  <bookViews>
    <workbookView xWindow="14400" yWindow="-16200" windowWidth="14610" windowHeight="15585" xr2:uid="{00000000-000D-0000-FFFF-FFFF00000000}"/>
  </bookViews>
  <sheets>
    <sheet name="Dane" sheetId="1" r:id="rId1"/>
    <sheet name="Zbiór do analiz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G30" i="1"/>
  <c r="G29" i="1"/>
  <c r="F30" i="1"/>
  <c r="F29" i="1"/>
  <c r="E30" i="1"/>
  <c r="E29" i="1"/>
</calcChain>
</file>

<file path=xl/sharedStrings.xml><?xml version="1.0" encoding="utf-8"?>
<sst xmlns="http://schemas.openxmlformats.org/spreadsheetml/2006/main" count="131" uniqueCount="69">
  <si>
    <t>https://pajaksport.pl/ekwipunek/10-spiwory/</t>
  </si>
  <si>
    <t>nr</t>
  </si>
  <si>
    <t>nazwa</t>
  </si>
  <si>
    <t>cena</t>
  </si>
  <si>
    <t>Quest 4TWO</t>
  </si>
  <si>
    <t>2 359,00 zł</t>
  </si>
  <si>
    <t>masa [g]</t>
  </si>
  <si>
    <t>Optymalna temperatura [℃]</t>
  </si>
  <si>
    <t>objętość [litry]</t>
  </si>
  <si>
    <t>Core 550</t>
  </si>
  <si>
    <t>1 689,00 zł</t>
  </si>
  <si>
    <t>1 499,00 zł</t>
  </si>
  <si>
    <t>Core 400</t>
  </si>
  <si>
    <t>1 039,00 zł</t>
  </si>
  <si>
    <t>Quest Blanket</t>
  </si>
  <si>
    <t>2 199,00 zł</t>
  </si>
  <si>
    <t>Radical 1Z</t>
  </si>
  <si>
    <t>1 779,00 zł</t>
  </si>
  <si>
    <t>Radical ULZ</t>
  </si>
  <si>
    <t>1 269,00 zł</t>
  </si>
  <si>
    <t>Radical ULX</t>
  </si>
  <si>
    <t>Radical 4Z</t>
  </si>
  <si>
    <t>2 999,00 zł</t>
  </si>
  <si>
    <t>Radical 8Z</t>
  </si>
  <si>
    <t>3 409,00 zł</t>
  </si>
  <si>
    <t>Radical 12Z</t>
  </si>
  <si>
    <t>4 139,00 zł</t>
  </si>
  <si>
    <t>Core 250</t>
  </si>
  <si>
    <t>1 309,00 zł</t>
  </si>
  <si>
    <t>1 089,00 zł</t>
  </si>
  <si>
    <t>Quest Quilt</t>
  </si>
  <si>
    <t>Core 950</t>
  </si>
  <si>
    <t>2 239,00 zł</t>
  </si>
  <si>
    <t>Śpiwór puchowy Sea to Summit Spark -1C/30F grey/yellow</t>
  </si>
  <si>
    <t>1719,99 zł</t>
  </si>
  <si>
    <t>https://www.e-horyzont.pl/camping/spiwory.html</t>
  </si>
  <si>
    <t>Śpiwór hybrydowy Gully 300 zamek lewy Robens</t>
  </si>
  <si>
    <t>555,26 zł </t>
  </si>
  <si>
    <t>koszt</t>
  </si>
  <si>
    <t>https://www.campingshop.pl/spiwory/lekkie-i-ultralekkie</t>
  </si>
  <si>
    <t>Śpiwory dostępne na stronach</t>
  </si>
  <si>
    <t>Śpiwór puchowy Hyperion Regular 0C Thermarest</t>
  </si>
  <si>
    <t>1 834,34 zł</t>
  </si>
  <si>
    <t>Śpiwór puchowy Couloir 350 Robens</t>
  </si>
  <si>
    <t>1 101,50 zł</t>
  </si>
  <si>
    <t>https://militaria.pl/c/spiwory-9624</t>
  </si>
  <si>
    <t>Śpiwór Carinthia Defence 4 Medium - Olive</t>
  </si>
  <si>
    <t>Śpiwór Snugpak Softie 9 Hawk Olive - lewy</t>
  </si>
  <si>
    <t>Śpiwór Carinthia SOF 3 Medium Lewy - Olive</t>
  </si>
  <si>
    <t>Zdominowany</t>
  </si>
  <si>
    <t>Dominujacy</t>
  </si>
  <si>
    <t>producent</t>
  </si>
  <si>
    <t>Sea to Summit</t>
  </si>
  <si>
    <t>Robens</t>
  </si>
  <si>
    <t>Thermarest</t>
  </si>
  <si>
    <t>Pajak</t>
  </si>
  <si>
    <t>Carinthia</t>
  </si>
  <si>
    <t>Snugpak</t>
  </si>
  <si>
    <t>Spark -1C/30F</t>
  </si>
  <si>
    <t>Gully 300</t>
  </si>
  <si>
    <t>Hyperion Regular 0C</t>
  </si>
  <si>
    <t>Couloir 350</t>
  </si>
  <si>
    <t>Defence 4 Medium</t>
  </si>
  <si>
    <t>Softie 9 Hawk</t>
  </si>
  <si>
    <t>SOF 3 Medium</t>
  </si>
  <si>
    <t>rodzaj</t>
  </si>
  <si>
    <t>Hybryda</t>
  </si>
  <si>
    <t>puch</t>
  </si>
  <si>
    <t>syntetyk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</si>
</sst>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color rgb="FF0000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8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ampingshop.pl/spiwory/lekkie-i-ultralekkie" TargetMode="External"/><Relationship Id="rId2" Type="http://schemas.openxmlformats.org/officeDocument/2006/relationships/hyperlink" Target="https://www.e-horyzont.pl/camping/spiwory.html" TargetMode="External"/><Relationship Id="rId1" Type="http://schemas.openxmlformats.org/officeDocument/2006/relationships/hyperlink" Target="https://pajaksport.pl/ekwipunek/10-spiwo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85" workbookViewId="0">
      <selection activeCell="E23" sqref="E23"/>
    </sheetView>
  </sheetViews>
  <sheetFormatPr defaultRowHeight="14.4" x14ac:dyDescent="0.3"/>
  <cols>
    <col min="4" max="4" width="53.6640625" bestFit="1" customWidth="1"/>
    <col min="5" max="5" width="14" style="4" bestFit="1" customWidth="1"/>
    <col min="7" max="7" width="26.6640625" bestFit="1" customWidth="1"/>
    <col min="8" max="9" width="17.5546875" customWidth="1"/>
    <col min="10" max="10" width="14" bestFit="1" customWidth="1"/>
  </cols>
  <sheetData>
    <row r="1" spans="1:10" x14ac:dyDescent="0.3">
      <c r="A1" t="s">
        <v>40</v>
      </c>
    </row>
    <row r="2" spans="1:10" x14ac:dyDescent="0.3">
      <c r="A2" s="1" t="s">
        <v>0</v>
      </c>
    </row>
    <row r="3" spans="1:10" x14ac:dyDescent="0.3">
      <c r="A3" s="1" t="s">
        <v>35</v>
      </c>
    </row>
    <row r="4" spans="1:10" x14ac:dyDescent="0.3">
      <c r="A4" s="1" t="s">
        <v>39</v>
      </c>
    </row>
    <row r="5" spans="1:10" x14ac:dyDescent="0.3">
      <c r="A5" s="1" t="s">
        <v>45</v>
      </c>
    </row>
    <row r="6" spans="1:10" x14ac:dyDescent="0.3">
      <c r="A6" s="1"/>
      <c r="E6" s="4" t="s">
        <v>38</v>
      </c>
      <c r="F6" t="s">
        <v>38</v>
      </c>
      <c r="G6" t="s">
        <v>38</v>
      </c>
      <c r="H6" t="s">
        <v>38</v>
      </c>
    </row>
    <row r="7" spans="1:10" x14ac:dyDescent="0.3">
      <c r="C7" t="s">
        <v>1</v>
      </c>
      <c r="D7" t="s">
        <v>2</v>
      </c>
      <c r="E7" t="s">
        <v>51</v>
      </c>
      <c r="F7" t="s">
        <v>6</v>
      </c>
      <c r="G7" t="s">
        <v>7</v>
      </c>
      <c r="H7" t="s">
        <v>8</v>
      </c>
      <c r="I7" t="s">
        <v>65</v>
      </c>
      <c r="J7" s="4" t="s">
        <v>3</v>
      </c>
    </row>
    <row r="8" spans="1:10" x14ac:dyDescent="0.3">
      <c r="C8">
        <v>1</v>
      </c>
      <c r="D8" t="s">
        <v>4</v>
      </c>
      <c r="E8" t="s">
        <v>55</v>
      </c>
      <c r="F8">
        <v>1100</v>
      </c>
      <c r="G8">
        <v>5</v>
      </c>
      <c r="H8">
        <v>5</v>
      </c>
      <c r="I8" t="s">
        <v>67</v>
      </c>
      <c r="J8" s="4">
        <v>2359</v>
      </c>
    </row>
    <row r="9" spans="1:10" x14ac:dyDescent="0.3">
      <c r="C9">
        <v>2</v>
      </c>
      <c r="D9" t="s">
        <v>58</v>
      </c>
      <c r="E9" t="s">
        <v>52</v>
      </c>
      <c r="F9" s="2">
        <v>536</v>
      </c>
      <c r="G9">
        <v>-1</v>
      </c>
      <c r="H9">
        <v>8</v>
      </c>
      <c r="I9" t="s">
        <v>67</v>
      </c>
      <c r="J9" s="4">
        <v>1719.99</v>
      </c>
    </row>
    <row r="10" spans="1:10" x14ac:dyDescent="0.3">
      <c r="C10">
        <v>3</v>
      </c>
      <c r="D10" t="s">
        <v>9</v>
      </c>
      <c r="E10" t="s">
        <v>55</v>
      </c>
      <c r="F10">
        <v>915</v>
      </c>
      <c r="G10">
        <v>-9</v>
      </c>
      <c r="H10">
        <v>5</v>
      </c>
      <c r="I10" t="s">
        <v>67</v>
      </c>
      <c r="J10" s="4">
        <v>1689</v>
      </c>
    </row>
    <row r="11" spans="1:10" x14ac:dyDescent="0.3">
      <c r="C11">
        <v>4</v>
      </c>
      <c r="D11" t="s">
        <v>12</v>
      </c>
      <c r="E11" t="s">
        <v>55</v>
      </c>
      <c r="F11">
        <v>800</v>
      </c>
      <c r="G11">
        <v>-6</v>
      </c>
      <c r="H11">
        <v>5</v>
      </c>
      <c r="I11" t="s">
        <v>67</v>
      </c>
      <c r="J11" s="4">
        <v>1499</v>
      </c>
    </row>
    <row r="12" spans="1:10" x14ac:dyDescent="0.3">
      <c r="C12">
        <v>5</v>
      </c>
      <c r="D12" t="s">
        <v>14</v>
      </c>
      <c r="E12" t="s">
        <v>55</v>
      </c>
      <c r="F12">
        <v>420</v>
      </c>
      <c r="G12">
        <v>9</v>
      </c>
      <c r="H12">
        <v>2</v>
      </c>
      <c r="I12" t="s">
        <v>67</v>
      </c>
      <c r="J12" s="4">
        <v>1039</v>
      </c>
    </row>
    <row r="13" spans="1:10" x14ac:dyDescent="0.3">
      <c r="C13">
        <v>6</v>
      </c>
      <c r="D13" t="s">
        <v>16</v>
      </c>
      <c r="E13" t="s">
        <v>55</v>
      </c>
      <c r="F13">
        <v>440</v>
      </c>
      <c r="G13">
        <v>0</v>
      </c>
      <c r="H13">
        <v>2.2000000000000002</v>
      </c>
      <c r="I13" t="s">
        <v>67</v>
      </c>
      <c r="J13" s="4">
        <v>2199</v>
      </c>
    </row>
    <row r="14" spans="1:10" x14ac:dyDescent="0.3">
      <c r="C14">
        <v>7</v>
      </c>
      <c r="D14" t="s">
        <v>18</v>
      </c>
      <c r="E14" t="s">
        <v>55</v>
      </c>
      <c r="F14">
        <v>325</v>
      </c>
      <c r="G14">
        <v>0</v>
      </c>
      <c r="H14">
        <v>1.4</v>
      </c>
      <c r="I14" t="s">
        <v>67</v>
      </c>
      <c r="J14" s="4">
        <v>1779</v>
      </c>
    </row>
    <row r="15" spans="1:10" x14ac:dyDescent="0.3">
      <c r="C15">
        <v>8</v>
      </c>
      <c r="D15" t="s">
        <v>20</v>
      </c>
      <c r="E15" t="s">
        <v>55</v>
      </c>
      <c r="F15">
        <v>190</v>
      </c>
      <c r="G15">
        <v>9</v>
      </c>
      <c r="H15">
        <v>1.4</v>
      </c>
      <c r="I15" t="s">
        <v>67</v>
      </c>
      <c r="J15" s="4">
        <v>1269</v>
      </c>
    </row>
    <row r="16" spans="1:10" x14ac:dyDescent="0.3">
      <c r="C16">
        <v>9</v>
      </c>
      <c r="D16" t="s">
        <v>21</v>
      </c>
      <c r="E16" t="s">
        <v>55</v>
      </c>
      <c r="F16">
        <v>720</v>
      </c>
      <c r="G16">
        <v>-7</v>
      </c>
      <c r="H16">
        <v>5</v>
      </c>
      <c r="I16" t="s">
        <v>67</v>
      </c>
      <c r="J16" s="4">
        <v>2999</v>
      </c>
    </row>
    <row r="17" spans="3:10" x14ac:dyDescent="0.3">
      <c r="C17">
        <v>10</v>
      </c>
      <c r="D17" t="s">
        <v>23</v>
      </c>
      <c r="E17" t="s">
        <v>55</v>
      </c>
      <c r="F17">
        <v>1030</v>
      </c>
      <c r="G17">
        <v>-10</v>
      </c>
      <c r="H17">
        <v>6</v>
      </c>
      <c r="I17" t="s">
        <v>67</v>
      </c>
      <c r="J17" s="4">
        <v>3409</v>
      </c>
    </row>
    <row r="18" spans="3:10" x14ac:dyDescent="0.3">
      <c r="C18">
        <v>11</v>
      </c>
      <c r="D18" t="s">
        <v>25</v>
      </c>
      <c r="E18" t="s">
        <v>55</v>
      </c>
      <c r="F18">
        <v>1300</v>
      </c>
      <c r="G18">
        <v>-14</v>
      </c>
      <c r="H18">
        <v>6.5</v>
      </c>
      <c r="I18" t="s">
        <v>67</v>
      </c>
      <c r="J18" s="4">
        <v>4139</v>
      </c>
    </row>
    <row r="19" spans="3:10" x14ac:dyDescent="0.3">
      <c r="C19">
        <v>12</v>
      </c>
      <c r="D19" t="s">
        <v>27</v>
      </c>
      <c r="E19" t="s">
        <v>55</v>
      </c>
      <c r="F19">
        <v>420</v>
      </c>
      <c r="G19">
        <v>12</v>
      </c>
      <c r="H19">
        <v>2</v>
      </c>
      <c r="I19" t="s">
        <v>67</v>
      </c>
      <c r="J19" s="4">
        <v>1309</v>
      </c>
    </row>
    <row r="20" spans="3:10" x14ac:dyDescent="0.3">
      <c r="C20">
        <v>13</v>
      </c>
      <c r="D20" t="s">
        <v>59</v>
      </c>
      <c r="E20" t="s">
        <v>53</v>
      </c>
      <c r="F20">
        <v>875</v>
      </c>
      <c r="G20">
        <v>4</v>
      </c>
      <c r="H20">
        <v>1.7</v>
      </c>
      <c r="I20" t="s">
        <v>66</v>
      </c>
      <c r="J20" s="4">
        <v>555.26</v>
      </c>
    </row>
    <row r="21" spans="3:10" x14ac:dyDescent="0.3">
      <c r="C21">
        <v>14</v>
      </c>
      <c r="D21" t="s">
        <v>60</v>
      </c>
      <c r="E21" t="s">
        <v>54</v>
      </c>
      <c r="F21">
        <v>454</v>
      </c>
      <c r="G21">
        <v>5</v>
      </c>
      <c r="H21">
        <v>1</v>
      </c>
      <c r="I21" t="s">
        <v>67</v>
      </c>
      <c r="J21" s="4">
        <v>1834.34</v>
      </c>
    </row>
    <row r="22" spans="3:10" x14ac:dyDescent="0.3">
      <c r="C22">
        <v>15</v>
      </c>
      <c r="D22" t="s">
        <v>30</v>
      </c>
      <c r="E22" t="s">
        <v>55</v>
      </c>
      <c r="F22">
        <v>485</v>
      </c>
      <c r="G22">
        <v>5</v>
      </c>
      <c r="H22">
        <v>2</v>
      </c>
      <c r="I22" t="s">
        <v>67</v>
      </c>
      <c r="J22" s="4">
        <v>1089</v>
      </c>
    </row>
    <row r="23" spans="3:10" x14ac:dyDescent="0.3">
      <c r="C23">
        <v>16</v>
      </c>
      <c r="D23" t="s">
        <v>61</v>
      </c>
      <c r="E23" t="s">
        <v>53</v>
      </c>
      <c r="F23">
        <v>795</v>
      </c>
      <c r="G23">
        <v>-4</v>
      </c>
      <c r="H23">
        <v>2</v>
      </c>
      <c r="I23" t="s">
        <v>67</v>
      </c>
      <c r="J23" s="4">
        <v>1101.5</v>
      </c>
    </row>
    <row r="24" spans="3:10" x14ac:dyDescent="0.3">
      <c r="C24">
        <v>17</v>
      </c>
      <c r="D24" t="s">
        <v>62</v>
      </c>
      <c r="E24" t="s">
        <v>56</v>
      </c>
      <c r="F24">
        <v>1850</v>
      </c>
      <c r="G24">
        <v>-8.8000000000000007</v>
      </c>
      <c r="H24">
        <v>4.3</v>
      </c>
      <c r="I24" t="s">
        <v>68</v>
      </c>
      <c r="J24" s="4">
        <v>979</v>
      </c>
    </row>
    <row r="25" spans="3:10" x14ac:dyDescent="0.3">
      <c r="C25">
        <v>18</v>
      </c>
      <c r="D25" t="s">
        <v>63</v>
      </c>
      <c r="E25" t="s">
        <v>57</v>
      </c>
      <c r="F25">
        <v>1500</v>
      </c>
      <c r="G25">
        <v>-5</v>
      </c>
      <c r="H25">
        <v>3.78</v>
      </c>
      <c r="I25" t="s">
        <v>68</v>
      </c>
      <c r="J25" s="4">
        <v>769</v>
      </c>
    </row>
    <row r="26" spans="3:10" x14ac:dyDescent="0.3">
      <c r="C26">
        <v>19</v>
      </c>
      <c r="D26" t="s">
        <v>31</v>
      </c>
      <c r="E26" t="s">
        <v>55</v>
      </c>
      <c r="F26">
        <v>1400</v>
      </c>
      <c r="G26">
        <v>-18</v>
      </c>
      <c r="H26">
        <v>10</v>
      </c>
      <c r="I26" t="s">
        <v>67</v>
      </c>
      <c r="J26" s="4">
        <v>2239</v>
      </c>
    </row>
    <row r="27" spans="3:10" x14ac:dyDescent="0.3">
      <c r="C27">
        <v>20</v>
      </c>
      <c r="D27" t="s">
        <v>64</v>
      </c>
      <c r="E27" t="s">
        <v>56</v>
      </c>
      <c r="F27">
        <v>1616</v>
      </c>
      <c r="G27">
        <v>-8</v>
      </c>
      <c r="H27">
        <v>2.2999999999999998</v>
      </c>
      <c r="I27" t="s">
        <v>68</v>
      </c>
      <c r="J27" s="4">
        <v>1259</v>
      </c>
    </row>
    <row r="29" spans="3:10" x14ac:dyDescent="0.3">
      <c r="E29" s="4">
        <f>MIN(E8:E27)</f>
        <v>0</v>
      </c>
      <c r="F29">
        <f>MIN(F8:F27)</f>
        <v>190</v>
      </c>
      <c r="G29">
        <f>MIN(G8:G27)</f>
        <v>-18</v>
      </c>
      <c r="H29">
        <f>MIN(H8:H27)</f>
        <v>1</v>
      </c>
    </row>
    <row r="30" spans="3:10" x14ac:dyDescent="0.3">
      <c r="E30" s="4">
        <f>MAX(E8:E27)</f>
        <v>0</v>
      </c>
      <c r="F30">
        <f>MAX(F8:F27)</f>
        <v>1850</v>
      </c>
      <c r="G30">
        <f>MAX(G8:G27)</f>
        <v>12</v>
      </c>
      <c r="H30">
        <f>MAX(H8:H27)</f>
        <v>10</v>
      </c>
    </row>
    <row r="33" spans="4:11" x14ac:dyDescent="0.3">
      <c r="D33" t="s">
        <v>25</v>
      </c>
      <c r="E33" s="4">
        <v>4139</v>
      </c>
      <c r="F33">
        <v>1300</v>
      </c>
    </row>
    <row r="34" spans="4:11" x14ac:dyDescent="0.3">
      <c r="D34" t="s">
        <v>36</v>
      </c>
      <c r="E34" s="4">
        <v>555.26</v>
      </c>
      <c r="F34">
        <v>875</v>
      </c>
    </row>
    <row r="35" spans="4:11" x14ac:dyDescent="0.3">
      <c r="D35" t="s">
        <v>20</v>
      </c>
      <c r="E35" s="4">
        <v>1269</v>
      </c>
      <c r="F35">
        <v>190</v>
      </c>
    </row>
    <row r="39" spans="4:11" x14ac:dyDescent="0.3">
      <c r="D39" s="5" t="s">
        <v>49</v>
      </c>
      <c r="E39">
        <v>1</v>
      </c>
      <c r="F39" t="s">
        <v>4</v>
      </c>
      <c r="G39" s="4">
        <v>2359</v>
      </c>
      <c r="H39">
        <v>1100</v>
      </c>
      <c r="J39">
        <v>5</v>
      </c>
      <c r="K39">
        <v>5</v>
      </c>
    </row>
    <row r="40" spans="4:11" x14ac:dyDescent="0.3">
      <c r="D40" s="5" t="s">
        <v>50</v>
      </c>
      <c r="E40">
        <v>6</v>
      </c>
      <c r="F40" t="s">
        <v>16</v>
      </c>
      <c r="G40" s="4">
        <v>2199</v>
      </c>
      <c r="H40">
        <v>440</v>
      </c>
      <c r="J40">
        <v>0</v>
      </c>
      <c r="K40">
        <v>2.2000000000000002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H25"/>
  <sheetViews>
    <sheetView topLeftCell="B1" workbookViewId="0">
      <selection activeCell="H19" sqref="D19:H19"/>
    </sheetView>
  </sheetViews>
  <sheetFormatPr defaultRowHeight="14.4" x14ac:dyDescent="0.3"/>
  <cols>
    <col min="3" max="3" width="3" bestFit="1" customWidth="1"/>
    <col min="4" max="4" width="53.6640625" bestFit="1" customWidth="1"/>
    <col min="5" max="5" width="9.88671875" bestFit="1" customWidth="1"/>
    <col min="6" max="6" width="8.44140625" bestFit="1" customWidth="1"/>
    <col min="7" max="7" width="26.6640625" bestFit="1" customWidth="1"/>
    <col min="8" max="8" width="14" bestFit="1" customWidth="1"/>
  </cols>
  <sheetData>
    <row r="4" spans="3:8" x14ac:dyDescent="0.3">
      <c r="E4" t="s">
        <v>38</v>
      </c>
      <c r="F4" t="s">
        <v>38</v>
      </c>
      <c r="G4" t="s">
        <v>38</v>
      </c>
      <c r="H4" t="s">
        <v>38</v>
      </c>
    </row>
    <row r="5" spans="3:8" x14ac:dyDescent="0.3">
      <c r="C5" t="s">
        <v>1</v>
      </c>
      <c r="D5" t="s">
        <v>2</v>
      </c>
      <c r="E5" t="s">
        <v>3</v>
      </c>
      <c r="F5" t="s">
        <v>6</v>
      </c>
      <c r="G5" t="s">
        <v>7</v>
      </c>
      <c r="H5" t="s">
        <v>8</v>
      </c>
    </row>
    <row r="6" spans="3:8" x14ac:dyDescent="0.3">
      <c r="C6">
        <v>1</v>
      </c>
      <c r="D6" t="s">
        <v>4</v>
      </c>
      <c r="E6" t="s">
        <v>5</v>
      </c>
      <c r="F6">
        <v>1100</v>
      </c>
      <c r="G6">
        <v>5</v>
      </c>
      <c r="H6">
        <v>5</v>
      </c>
    </row>
    <row r="7" spans="3:8" x14ac:dyDescent="0.3">
      <c r="C7">
        <v>2</v>
      </c>
      <c r="D7" t="s">
        <v>33</v>
      </c>
      <c r="E7" t="s">
        <v>34</v>
      </c>
      <c r="F7" s="2">
        <v>536</v>
      </c>
      <c r="G7">
        <v>-1</v>
      </c>
      <c r="H7">
        <v>8</v>
      </c>
    </row>
    <row r="8" spans="3:8" x14ac:dyDescent="0.3">
      <c r="C8">
        <v>3</v>
      </c>
      <c r="D8" t="s">
        <v>9</v>
      </c>
      <c r="E8" t="s">
        <v>10</v>
      </c>
      <c r="F8">
        <v>915</v>
      </c>
      <c r="G8">
        <v>-9</v>
      </c>
      <c r="H8">
        <v>5</v>
      </c>
    </row>
    <row r="9" spans="3:8" x14ac:dyDescent="0.3">
      <c r="C9">
        <v>4</v>
      </c>
      <c r="D9" t="s">
        <v>12</v>
      </c>
      <c r="E9" t="s">
        <v>11</v>
      </c>
      <c r="F9">
        <v>800</v>
      </c>
      <c r="G9">
        <v>-6</v>
      </c>
      <c r="H9">
        <v>5</v>
      </c>
    </row>
    <row r="10" spans="3:8" x14ac:dyDescent="0.3">
      <c r="C10">
        <v>5</v>
      </c>
      <c r="D10" t="s">
        <v>14</v>
      </c>
      <c r="E10" t="s">
        <v>13</v>
      </c>
      <c r="F10">
        <v>420</v>
      </c>
      <c r="G10">
        <v>9</v>
      </c>
      <c r="H10">
        <v>2</v>
      </c>
    </row>
    <row r="11" spans="3:8" x14ac:dyDescent="0.3">
      <c r="C11">
        <v>6</v>
      </c>
      <c r="D11" t="s">
        <v>16</v>
      </c>
      <c r="E11" t="s">
        <v>15</v>
      </c>
      <c r="F11">
        <v>440</v>
      </c>
      <c r="G11">
        <v>0</v>
      </c>
      <c r="H11">
        <v>2.2000000000000002</v>
      </c>
    </row>
    <row r="12" spans="3:8" x14ac:dyDescent="0.3">
      <c r="C12">
        <v>7</v>
      </c>
      <c r="D12" t="s">
        <v>18</v>
      </c>
      <c r="E12" t="s">
        <v>17</v>
      </c>
      <c r="F12">
        <v>325</v>
      </c>
      <c r="G12">
        <v>0</v>
      </c>
      <c r="H12">
        <v>1.4</v>
      </c>
    </row>
    <row r="13" spans="3:8" x14ac:dyDescent="0.3">
      <c r="C13">
        <v>8</v>
      </c>
      <c r="D13" t="s">
        <v>20</v>
      </c>
      <c r="E13" t="s">
        <v>19</v>
      </c>
      <c r="F13">
        <v>190</v>
      </c>
      <c r="G13">
        <v>9</v>
      </c>
      <c r="H13">
        <v>1.4</v>
      </c>
    </row>
    <row r="14" spans="3:8" x14ac:dyDescent="0.3">
      <c r="C14">
        <v>9</v>
      </c>
      <c r="D14" t="s">
        <v>21</v>
      </c>
      <c r="E14" t="s">
        <v>22</v>
      </c>
      <c r="F14">
        <v>720</v>
      </c>
      <c r="G14">
        <v>-7</v>
      </c>
      <c r="H14">
        <v>5</v>
      </c>
    </row>
    <row r="15" spans="3:8" x14ac:dyDescent="0.3">
      <c r="C15">
        <v>10</v>
      </c>
      <c r="D15" t="s">
        <v>23</v>
      </c>
      <c r="E15" t="s">
        <v>24</v>
      </c>
      <c r="F15">
        <v>1030</v>
      </c>
      <c r="G15">
        <v>-10</v>
      </c>
      <c r="H15">
        <v>6</v>
      </c>
    </row>
    <row r="16" spans="3:8" x14ac:dyDescent="0.3">
      <c r="C16">
        <v>11</v>
      </c>
      <c r="D16" t="s">
        <v>25</v>
      </c>
      <c r="E16" t="s">
        <v>26</v>
      </c>
      <c r="F16">
        <v>1300</v>
      </c>
      <c r="G16">
        <v>-14</v>
      </c>
      <c r="H16">
        <v>6.5</v>
      </c>
    </row>
    <row r="17" spans="3:8" x14ac:dyDescent="0.3">
      <c r="C17">
        <v>12</v>
      </c>
      <c r="D17" t="s">
        <v>27</v>
      </c>
      <c r="E17" t="s">
        <v>28</v>
      </c>
      <c r="F17">
        <v>420</v>
      </c>
      <c r="G17">
        <v>12</v>
      </c>
      <c r="H17">
        <v>2</v>
      </c>
    </row>
    <row r="18" spans="3:8" x14ac:dyDescent="0.3">
      <c r="C18">
        <v>13</v>
      </c>
      <c r="D18" t="s">
        <v>36</v>
      </c>
      <c r="E18" t="s">
        <v>37</v>
      </c>
      <c r="F18">
        <v>875</v>
      </c>
      <c r="G18">
        <v>4</v>
      </c>
      <c r="H18">
        <v>1.7</v>
      </c>
    </row>
    <row r="19" spans="3:8" x14ac:dyDescent="0.3">
      <c r="C19">
        <v>14</v>
      </c>
      <c r="D19" t="s">
        <v>41</v>
      </c>
      <c r="E19" t="s">
        <v>42</v>
      </c>
      <c r="F19">
        <v>454</v>
      </c>
      <c r="G19">
        <v>5</v>
      </c>
      <c r="H19">
        <v>1</v>
      </c>
    </row>
    <row r="20" spans="3:8" x14ac:dyDescent="0.3">
      <c r="C20">
        <v>15</v>
      </c>
      <c r="D20" t="s">
        <v>30</v>
      </c>
      <c r="E20" t="s">
        <v>29</v>
      </c>
      <c r="F20">
        <v>485</v>
      </c>
      <c r="G20">
        <v>5</v>
      </c>
      <c r="H20">
        <v>2</v>
      </c>
    </row>
    <row r="21" spans="3:8" x14ac:dyDescent="0.3">
      <c r="C21">
        <v>16</v>
      </c>
      <c r="D21" t="s">
        <v>43</v>
      </c>
      <c r="E21" t="s">
        <v>44</v>
      </c>
      <c r="F21">
        <v>795</v>
      </c>
      <c r="G21">
        <v>-4</v>
      </c>
      <c r="H21">
        <v>2</v>
      </c>
    </row>
    <row r="22" spans="3:8" x14ac:dyDescent="0.3">
      <c r="C22">
        <v>17</v>
      </c>
      <c r="D22" t="s">
        <v>46</v>
      </c>
      <c r="E22" s="3">
        <v>979</v>
      </c>
      <c r="F22">
        <v>1850</v>
      </c>
      <c r="G22">
        <v>-8.8000000000000007</v>
      </c>
      <c r="H22">
        <v>4.3</v>
      </c>
    </row>
    <row r="23" spans="3:8" x14ac:dyDescent="0.3">
      <c r="C23">
        <v>18</v>
      </c>
      <c r="D23" t="s">
        <v>47</v>
      </c>
      <c r="E23" s="3">
        <v>769</v>
      </c>
      <c r="F23">
        <v>1500</v>
      </c>
      <c r="G23">
        <v>-5</v>
      </c>
      <c r="H23">
        <v>3.78</v>
      </c>
    </row>
    <row r="24" spans="3:8" x14ac:dyDescent="0.3">
      <c r="C24">
        <v>19</v>
      </c>
      <c r="D24" t="s">
        <v>31</v>
      </c>
      <c r="E24" t="s">
        <v>32</v>
      </c>
      <c r="F24">
        <v>1400</v>
      </c>
      <c r="G24">
        <v>-18</v>
      </c>
      <c r="H24">
        <v>10</v>
      </c>
    </row>
    <row r="25" spans="3:8" x14ac:dyDescent="0.3">
      <c r="C25">
        <v>20</v>
      </c>
      <c r="D25" t="s">
        <v>48</v>
      </c>
      <c r="E25" s="3">
        <v>1259</v>
      </c>
      <c r="F25">
        <v>1616</v>
      </c>
      <c r="G25">
        <v>-8</v>
      </c>
      <c r="H25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Dane</vt:lpstr>
      <vt:lpstr>Zbiór do analizy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Bartosz Kledzik</cp:lastModifiedBy>
  <dcterms:created xsi:type="dcterms:W3CDTF">2024-11-04T23:30:48Z</dcterms:created>
  <dcterms:modified xsi:type="dcterms:W3CDTF">2025-12-12T18:02:22Z</dcterms:modified>
</cp:coreProperties>
</file>